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Hamermesh\Dropbox\JEL2013Extension\ReplicationPackageHamermesh2025\"/>
    </mc:Choice>
  </mc:AlternateContent>
  <xr:revisionPtr revIDLastSave="0" documentId="8_{5AF430D9-17B4-418F-BF6B-9F471B97E43F}" xr6:coauthVersionLast="47" xr6:coauthVersionMax="47" xr10:uidLastSave="{00000000-0000-0000-0000-000000000000}"/>
  <bookViews>
    <workbookView xWindow="1110" yWindow="510" windowWidth="22890" windowHeight="13770" activeTab="2" xr2:uid="{39C51045-D9DB-4F6C-AB0F-76A27C26B813}"/>
  </bookViews>
  <sheets>
    <sheet name="Fem%" sheetId="1" r:id="rId1"/>
    <sheet name="Changing Style Similarity" sheetId="5" r:id="rId2"/>
    <sheet name="StyleNautho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V18" i="1"/>
  <c r="Q18" i="1"/>
  <c r="L18" i="1"/>
  <c r="W11" i="1"/>
  <c r="R11" i="1"/>
  <c r="Q11" i="1"/>
  <c r="J11" i="1"/>
  <c r="I11" i="1"/>
  <c r="H11" i="1"/>
  <c r="G11" i="1"/>
  <c r="G30" i="3"/>
  <c r="F30" i="3"/>
  <c r="E30" i="3"/>
  <c r="D30" i="3"/>
  <c r="C30" i="3"/>
  <c r="B30" i="3"/>
  <c r="G19" i="3"/>
  <c r="F19" i="3"/>
  <c r="E19" i="3"/>
  <c r="D19" i="3"/>
  <c r="C19" i="3"/>
  <c r="B19" i="3"/>
  <c r="H8" i="1" l="1"/>
  <c r="G33" i="3"/>
  <c r="G35" i="3"/>
  <c r="G22" i="3"/>
  <c r="G24" i="3" s="1"/>
  <c r="H9" i="1"/>
  <c r="R8" i="1"/>
  <c r="R9" i="1" s="1"/>
  <c r="L11" i="1"/>
  <c r="M8" i="1" s="1"/>
  <c r="M9" i="1" s="1"/>
  <c r="G7" i="3"/>
  <c r="F7" i="3"/>
  <c r="E7" i="3"/>
  <c r="D7" i="3"/>
  <c r="C7" i="3"/>
  <c r="B7" i="3"/>
  <c r="W8" i="1"/>
  <c r="W9" i="1" s="1"/>
  <c r="O13" i="1"/>
  <c r="N13" i="1"/>
  <c r="S13" i="1" s="1"/>
  <c r="M13" i="1"/>
  <c r="R13" i="1" s="1"/>
  <c r="W13" i="1" s="1"/>
  <c r="N12" i="1"/>
  <c r="S12" i="1" s="1"/>
  <c r="M12" i="1"/>
  <c r="R12" i="1" s="1"/>
  <c r="W12" i="1" s="1"/>
  <c r="L13" i="1"/>
  <c r="V13" i="1" s="1"/>
  <c r="L12" i="1"/>
  <c r="V12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G10" i="3" l="1"/>
  <c r="G12" i="3" s="1"/>
</calcChain>
</file>

<file path=xl/sharedStrings.xml><?xml version="1.0" encoding="utf-8"?>
<sst xmlns="http://schemas.openxmlformats.org/spreadsheetml/2006/main" count="81" uniqueCount="44">
  <si>
    <t>% female of Ph.Ds granted</t>
  </si>
  <si>
    <t xml:space="preserve"> </t>
  </si>
  <si>
    <t>PHD cohort</t>
  </si>
  <si>
    <t>1984-85</t>
  </si>
  <si>
    <t>1980-81</t>
  </si>
  <si>
    <t>1976-77</t>
  </si>
  <si>
    <t>&lt;=35</t>
  </si>
  <si>
    <t>36-50</t>
  </si>
  <si>
    <t>51-60</t>
  </si>
  <si>
    <t>61+</t>
  </si>
  <si>
    <t>Age at publication--2024</t>
  </si>
  <si>
    <t>Age at publication--2011</t>
  </si>
  <si>
    <t>Age at publication--2003</t>
  </si>
  <si>
    <t>ACTUAL</t>
  </si>
  <si>
    <t>%FEM IN</t>
  </si>
  <si>
    <t>PHD COHORT</t>
  </si>
  <si>
    <t>Age at publication--1993</t>
  </si>
  <si>
    <t>Cohort to use:</t>
  </si>
  <si>
    <t>Age Distib</t>
  </si>
  <si>
    <t>%FEMALE</t>
  </si>
  <si>
    <t xml:space="preserve">  </t>
  </si>
  <si>
    <t>1989-90</t>
  </si>
  <si>
    <t>STYLE</t>
  </si>
  <si>
    <t>Year:</t>
  </si>
  <si>
    <t>Change</t>
  </si>
  <si>
    <t xml:space="preserve"> (fractional)</t>
  </si>
  <si>
    <t>NAUTHORS</t>
  </si>
  <si>
    <t>of Nauthors</t>
  </si>
  <si>
    <t>on style indicators</t>
  </si>
  <si>
    <t>Coeff. in Regr</t>
  </si>
  <si>
    <t>% of rise attributable to delta style:</t>
  </si>
  <si>
    <t>AER-JPE</t>
  </si>
  <si>
    <t>AER-QJE</t>
  </si>
  <si>
    <t>JPE-QJE</t>
  </si>
  <si>
    <t>&lt;.001</t>
  </si>
  <si>
    <t>Year</t>
  </si>
  <si>
    <t xml:space="preserve">    K-S Statistics and p-values of research type</t>
  </si>
  <si>
    <t>Full</t>
  </si>
  <si>
    <t>assoc</t>
  </si>
  <si>
    <t>asst</t>
  </si>
  <si>
    <t>EXPECTED FROM</t>
  </si>
  <si>
    <t>CHMNS GROUP</t>
  </si>
  <si>
    <t>WEIGHTS OF</t>
  </si>
  <si>
    <t>.2, .3,.5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</si>
</sst>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color rgb="FF221F20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21F2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5EB6-6DD9-4470-B93C-B83E096DEBCD}">
  <dimension ref="C1:Y35"/>
  <sheetViews>
    <sheetView workbookViewId="0">
      <selection activeCell="N1" sqref="N1"/>
    </sheetView>
  </sheetViews>
  <sheetFormatPr defaultRowHeight="14.25" x14ac:dyDescent="0.45"/>
  <cols>
    <col min="2" max="2" width="0" hidden="1" customWidth="1"/>
    <col min="3" max="3" width="13.33203125" style="1" hidden="1" customWidth="1"/>
    <col min="4" max="4" width="6.3984375" hidden="1" customWidth="1"/>
    <col min="5" max="5" width="2.6640625" customWidth="1"/>
    <col min="6" max="6" width="15" customWidth="1"/>
    <col min="7" max="7" width="6.3984375" style="2" customWidth="1"/>
    <col min="8" max="8" width="7.3984375" style="2" customWidth="1"/>
    <col min="9" max="9" width="6" style="2" customWidth="1"/>
    <col min="10" max="10" width="4.9296875" style="2" customWidth="1"/>
    <col min="11" max="11" width="2.6640625" style="2" customWidth="1"/>
    <col min="12" max="12" width="5.53125" style="2" customWidth="1"/>
    <col min="13" max="13" width="6.86328125" style="2" customWidth="1"/>
    <col min="14" max="14" width="6" style="2" customWidth="1"/>
    <col min="15" max="15" width="5.06640625" style="2" customWidth="1"/>
    <col min="16" max="16" width="3.73046875" customWidth="1"/>
    <col min="17" max="17" width="5.73046875" customWidth="1"/>
    <col min="18" max="18" width="5.86328125" customWidth="1"/>
    <col min="19" max="19" width="6.46484375" customWidth="1"/>
    <col min="20" max="20" width="4.46484375" customWidth="1"/>
    <col min="21" max="21" width="2.3984375" customWidth="1"/>
    <col min="22" max="22" width="5.59765625" customWidth="1"/>
    <col min="23" max="23" width="5.53125" customWidth="1"/>
    <col min="24" max="24" width="7.46484375" customWidth="1"/>
    <col min="25" max="25" width="3.59765625" customWidth="1"/>
  </cols>
  <sheetData>
    <row r="1" spans="3:25" x14ac:dyDescent="0.45">
      <c r="C1" t="s">
        <v>0</v>
      </c>
      <c r="G1" s="4"/>
      <c r="H1" s="4" t="s">
        <v>10</v>
      </c>
      <c r="I1" s="4"/>
      <c r="J1" s="4"/>
      <c r="K1" s="4"/>
      <c r="L1" s="4"/>
      <c r="M1" s="4" t="s">
        <v>11</v>
      </c>
      <c r="N1" s="4"/>
      <c r="O1" s="4"/>
      <c r="P1" s="3"/>
      <c r="Q1" s="4"/>
      <c r="R1" s="4" t="s">
        <v>12</v>
      </c>
      <c r="S1" s="4"/>
      <c r="T1" s="4"/>
      <c r="U1" s="3"/>
      <c r="V1" s="4"/>
      <c r="W1" s="4" t="s">
        <v>16</v>
      </c>
      <c r="X1" s="4"/>
      <c r="Y1" s="2"/>
    </row>
    <row r="2" spans="3:25" x14ac:dyDescent="0.45">
      <c r="C2" s="1" t="s">
        <v>2</v>
      </c>
      <c r="G2" s="2" t="s">
        <v>6</v>
      </c>
      <c r="H2" s="2" t="s">
        <v>7</v>
      </c>
      <c r="I2" s="2" t="s">
        <v>8</v>
      </c>
      <c r="J2" s="2" t="s">
        <v>9</v>
      </c>
      <c r="L2" s="2" t="s">
        <v>6</v>
      </c>
      <c r="M2" s="2" t="s">
        <v>7</v>
      </c>
      <c r="N2" s="2" t="s">
        <v>8</v>
      </c>
      <c r="O2" s="2" t="s">
        <v>9</v>
      </c>
      <c r="Q2" s="2" t="s">
        <v>6</v>
      </c>
      <c r="R2" s="2" t="s">
        <v>7</v>
      </c>
      <c r="S2" s="2" t="s">
        <v>8</v>
      </c>
      <c r="T2" s="2" t="s">
        <v>9</v>
      </c>
      <c r="V2" s="2" t="s">
        <v>6</v>
      </c>
      <c r="W2" s="2" t="s">
        <v>7</v>
      </c>
      <c r="X2" s="2" t="s">
        <v>8</v>
      </c>
      <c r="Y2" s="2" t="s">
        <v>9</v>
      </c>
    </row>
    <row r="3" spans="3:25" ht="14.65" thickBot="1" x14ac:dyDescent="0.5">
      <c r="C3" s="1">
        <v>2021</v>
      </c>
      <c r="D3">
        <v>32.799999999999997</v>
      </c>
      <c r="F3" s="3" t="s">
        <v>18</v>
      </c>
      <c r="G3" s="5">
        <v>23.2</v>
      </c>
      <c r="H3" s="5">
        <v>56.2</v>
      </c>
      <c r="I3" s="5">
        <v>13.3</v>
      </c>
      <c r="J3" s="5">
        <v>7.3</v>
      </c>
      <c r="L3" s="6">
        <v>33</v>
      </c>
      <c r="M3" s="6">
        <v>48.1</v>
      </c>
      <c r="N3" s="6">
        <v>13</v>
      </c>
      <c r="O3" s="6">
        <v>5.9</v>
      </c>
      <c r="Q3" s="6">
        <v>36.799999999999997</v>
      </c>
      <c r="R3" s="6">
        <v>50.4</v>
      </c>
      <c r="S3" s="6">
        <v>10.7</v>
      </c>
      <c r="T3" s="6">
        <v>2.1</v>
      </c>
      <c r="V3" s="6">
        <v>49.8</v>
      </c>
      <c r="W3" s="6">
        <v>43.1</v>
      </c>
      <c r="X3" s="6">
        <v>5.6</v>
      </c>
      <c r="Y3" s="6">
        <v>1.5</v>
      </c>
    </row>
    <row r="4" spans="3:25" x14ac:dyDescent="0.45">
      <c r="C4" s="1">
        <v>2020</v>
      </c>
      <c r="D4">
        <v>34.799999999999997</v>
      </c>
      <c r="E4" t="s">
        <v>1</v>
      </c>
    </row>
    <row r="5" spans="3:25" x14ac:dyDescent="0.45">
      <c r="C5" s="1">
        <f>C4-1</f>
        <v>2019</v>
      </c>
      <c r="D5">
        <v>32.4</v>
      </c>
    </row>
    <row r="6" spans="3:25" ht="15.75" x14ac:dyDescent="0.5">
      <c r="C6" s="1">
        <f t="shared" ref="C6:C29" si="0">C5-1</f>
        <v>2018</v>
      </c>
      <c r="D6">
        <v>31.9</v>
      </c>
      <c r="F6" s="3" t="s">
        <v>13</v>
      </c>
      <c r="H6" s="7">
        <v>22.5</v>
      </c>
      <c r="I6" s="7"/>
      <c r="J6" s="7"/>
      <c r="K6" s="7"/>
      <c r="L6" s="7"/>
      <c r="M6" s="7">
        <v>12.6</v>
      </c>
      <c r="N6" s="7"/>
      <c r="O6" s="7"/>
      <c r="P6" s="8"/>
      <c r="Q6" s="8"/>
      <c r="R6" s="8">
        <v>10.3</v>
      </c>
      <c r="S6" s="8"/>
      <c r="T6" s="8"/>
      <c r="U6" s="8"/>
      <c r="V6" s="8"/>
      <c r="W6" s="8">
        <v>9.3000000000000007</v>
      </c>
    </row>
    <row r="7" spans="3:25" ht="15.75" x14ac:dyDescent="0.5">
      <c r="C7" s="1">
        <f t="shared" si="0"/>
        <v>2017</v>
      </c>
      <c r="D7">
        <v>31.1</v>
      </c>
      <c r="F7" s="3" t="s">
        <v>19</v>
      </c>
      <c r="H7" s="7"/>
      <c r="I7" s="7"/>
      <c r="J7" s="7"/>
      <c r="K7" s="7"/>
      <c r="L7" s="7"/>
      <c r="M7" s="7"/>
      <c r="N7" s="7"/>
      <c r="O7" s="7"/>
      <c r="P7" s="8"/>
      <c r="Q7" s="8"/>
      <c r="R7" s="8"/>
      <c r="S7" s="8"/>
      <c r="T7" s="8"/>
      <c r="U7" s="8"/>
      <c r="V7" s="8"/>
      <c r="W7" s="8"/>
    </row>
    <row r="8" spans="3:25" x14ac:dyDescent="0.45">
      <c r="C8" s="1">
        <f t="shared" si="0"/>
        <v>2016</v>
      </c>
      <c r="D8">
        <v>29.5</v>
      </c>
      <c r="H8" s="10">
        <f>(G3*G11+H3*H11+I3*I11+J3*J11)/(G3+H3+I3+J3)</f>
        <v>29.348823333333335</v>
      </c>
      <c r="I8" s="11"/>
      <c r="J8" s="11"/>
      <c r="K8" s="11"/>
      <c r="L8" s="11"/>
      <c r="M8" s="10">
        <f>(L3*L11+M3*M11+N3*N11+O3*O11)/(L3+M3+N3+O3)</f>
        <v>24.136500000000002</v>
      </c>
      <c r="N8" s="11"/>
      <c r="O8" s="11"/>
      <c r="P8" s="10"/>
      <c r="Q8" s="10"/>
      <c r="R8" s="10">
        <f>(Q3*Q11+R3*R11+S3*S11)/(Q3+R3+S3)</f>
        <v>20.777977528089892</v>
      </c>
      <c r="S8" s="10"/>
      <c r="T8" s="10"/>
      <c r="U8" s="10"/>
      <c r="V8" s="10"/>
      <c r="W8" s="10">
        <f>(V3*V11+W3*W11)/(V3+W3)</f>
        <v>15.045283907427338</v>
      </c>
    </row>
    <row r="9" spans="3:25" x14ac:dyDescent="0.45">
      <c r="C9" s="1">
        <f t="shared" si="0"/>
        <v>2015</v>
      </c>
      <c r="D9">
        <v>29.6</v>
      </c>
      <c r="H9" s="15">
        <f>H8-H6</f>
        <v>6.8488233333333355</v>
      </c>
      <c r="M9" s="15">
        <f>M8-M6</f>
        <v>11.536500000000002</v>
      </c>
      <c r="R9" s="15">
        <f>R8-R6</f>
        <v>10.477977528089891</v>
      </c>
      <c r="W9" s="15">
        <f>W8-W6</f>
        <v>5.7452839074273374</v>
      </c>
    </row>
    <row r="10" spans="3:25" hidden="1" x14ac:dyDescent="0.45">
      <c r="C10" s="1">
        <f t="shared" si="0"/>
        <v>2014</v>
      </c>
      <c r="D10">
        <v>30.5</v>
      </c>
      <c r="F10" s="3" t="s">
        <v>14</v>
      </c>
    </row>
    <row r="11" spans="3:25" hidden="1" x14ac:dyDescent="0.45">
      <c r="C11" s="1">
        <f t="shared" si="0"/>
        <v>2013</v>
      </c>
      <c r="D11">
        <v>32.1</v>
      </c>
      <c r="F11" s="3" t="s">
        <v>15</v>
      </c>
      <c r="G11" s="2">
        <f>AVERAGE(D3:D8)</f>
        <v>32.083333333333336</v>
      </c>
      <c r="H11" s="2">
        <f>AVERAGE(D7:D21)</f>
        <v>30.660000000000004</v>
      </c>
      <c r="I11" s="2">
        <f>AVERAGE(D22:D31)</f>
        <v>25.240000000000002</v>
      </c>
      <c r="J11" s="2">
        <f>AVERAGE(D32:D33)</f>
        <v>18.05</v>
      </c>
      <c r="L11" s="2">
        <f>AVERAGE(D16:D21)</f>
        <v>30.783333333333331</v>
      </c>
      <c r="M11" s="2">
        <v>24</v>
      </c>
      <c r="N11" s="2">
        <v>16</v>
      </c>
      <c r="O11" s="2">
        <v>6</v>
      </c>
      <c r="Q11">
        <f>AVERAGE(D24:D27)</f>
        <v>25.85</v>
      </c>
      <c r="R11">
        <f>(D28+D29+D30+D31+6*D32+4*D33+D34)/15</f>
        <v>19.660000000000004</v>
      </c>
      <c r="S11">
        <v>8.6</v>
      </c>
      <c r="V11">
        <v>18</v>
      </c>
      <c r="W11">
        <f>(7*D35+5*D34+4*D33)/16</f>
        <v>11.63125</v>
      </c>
    </row>
    <row r="12" spans="3:25" hidden="1" x14ac:dyDescent="0.45">
      <c r="C12" s="1">
        <f t="shared" si="0"/>
        <v>2012</v>
      </c>
      <c r="D12">
        <v>29.2</v>
      </c>
      <c r="F12" t="s">
        <v>17</v>
      </c>
      <c r="G12" s="2">
        <v>2018</v>
      </c>
      <c r="H12" s="2">
        <v>2003</v>
      </c>
      <c r="I12" s="2">
        <v>1993</v>
      </c>
      <c r="J12" s="2">
        <v>1984</v>
      </c>
      <c r="L12" s="2">
        <f>G12-13</f>
        <v>2005</v>
      </c>
      <c r="M12" s="2">
        <f t="shared" ref="M12:M13" si="1">H12-13</f>
        <v>1990</v>
      </c>
      <c r="N12" s="2">
        <f t="shared" ref="N12:N13" si="2">I12-13</f>
        <v>1980</v>
      </c>
      <c r="O12" s="2" t="s">
        <v>20</v>
      </c>
      <c r="Q12" s="2">
        <v>1997</v>
      </c>
      <c r="R12" s="2">
        <f t="shared" ref="R12:S13" si="3">M12-8</f>
        <v>1982</v>
      </c>
      <c r="S12" s="2">
        <f t="shared" si="3"/>
        <v>1972</v>
      </c>
      <c r="T12" s="2" t="s">
        <v>1</v>
      </c>
      <c r="V12">
        <f>Q12-10</f>
        <v>1987</v>
      </c>
      <c r="W12">
        <f>R12-10</f>
        <v>1972</v>
      </c>
    </row>
    <row r="13" spans="3:25" hidden="1" x14ac:dyDescent="0.45">
      <c r="C13" s="1">
        <f t="shared" si="0"/>
        <v>2011</v>
      </c>
      <c r="D13">
        <v>30.2</v>
      </c>
      <c r="G13" s="2">
        <v>2021</v>
      </c>
      <c r="H13" s="2">
        <v>2017</v>
      </c>
      <c r="I13" s="2">
        <v>2002</v>
      </c>
      <c r="J13" s="2">
        <v>1990</v>
      </c>
      <c r="L13" s="2">
        <f>G13-13</f>
        <v>2008</v>
      </c>
      <c r="M13" s="2">
        <f t="shared" si="1"/>
        <v>2004</v>
      </c>
      <c r="N13" s="2">
        <f t="shared" si="2"/>
        <v>1989</v>
      </c>
      <c r="O13" s="2">
        <f t="shared" ref="O13" si="4">J13-13</f>
        <v>1977</v>
      </c>
      <c r="Q13" s="2">
        <v>2000</v>
      </c>
      <c r="R13" s="2">
        <f t="shared" si="3"/>
        <v>1996</v>
      </c>
      <c r="S13" s="2">
        <f t="shared" si="3"/>
        <v>1981</v>
      </c>
      <c r="T13" s="2" t="s">
        <v>1</v>
      </c>
      <c r="V13">
        <f>Q13-10</f>
        <v>1990</v>
      </c>
      <c r="W13">
        <f>R13-10</f>
        <v>1986</v>
      </c>
    </row>
    <row r="14" spans="3:25" x14ac:dyDescent="0.45">
      <c r="C14" s="1">
        <f t="shared" si="0"/>
        <v>2010</v>
      </c>
      <c r="D14">
        <v>33</v>
      </c>
    </row>
    <row r="15" spans="3:25" x14ac:dyDescent="0.45">
      <c r="C15" s="1">
        <f t="shared" si="0"/>
        <v>2009</v>
      </c>
      <c r="D15">
        <v>30</v>
      </c>
      <c r="G15" s="2" t="s">
        <v>37</v>
      </c>
      <c r="H15" s="2" t="s">
        <v>38</v>
      </c>
      <c r="I15" s="2" t="s">
        <v>39</v>
      </c>
      <c r="L15" s="2" t="s">
        <v>37</v>
      </c>
      <c r="M15" s="2" t="s">
        <v>38</v>
      </c>
      <c r="N15" s="2" t="s">
        <v>39</v>
      </c>
      <c r="Q15" s="2" t="s">
        <v>37</v>
      </c>
      <c r="R15" s="2" t="s">
        <v>38</v>
      </c>
      <c r="S15" s="2" t="s">
        <v>39</v>
      </c>
      <c r="V15" s="2" t="s">
        <v>37</v>
      </c>
      <c r="W15" s="2" t="s">
        <v>38</v>
      </c>
      <c r="X15" s="2" t="s">
        <v>39</v>
      </c>
    </row>
    <row r="16" spans="3:25" x14ac:dyDescent="0.45">
      <c r="C16" s="1">
        <f t="shared" si="0"/>
        <v>2008</v>
      </c>
      <c r="D16">
        <v>32.6</v>
      </c>
      <c r="G16" s="9">
        <v>14.5</v>
      </c>
      <c r="H16" s="2">
        <v>25.8</v>
      </c>
      <c r="I16" s="2">
        <v>30.3</v>
      </c>
      <c r="L16" s="2">
        <v>9.24</v>
      </c>
      <c r="M16" s="2">
        <v>21.08</v>
      </c>
      <c r="N16" s="2">
        <v>26.71</v>
      </c>
      <c r="Q16" s="2">
        <v>8.83</v>
      </c>
      <c r="R16" s="2">
        <v>17.32</v>
      </c>
      <c r="S16" s="2">
        <v>23.69</v>
      </c>
      <c r="V16" s="2">
        <v>5.78</v>
      </c>
      <c r="W16" s="2">
        <v>10.86</v>
      </c>
      <c r="X16" s="2">
        <v>20.68</v>
      </c>
    </row>
    <row r="17" spans="3:24" x14ac:dyDescent="0.45">
      <c r="C17" s="1">
        <f t="shared" si="0"/>
        <v>2007</v>
      </c>
      <c r="D17">
        <v>32.1</v>
      </c>
    </row>
    <row r="18" spans="3:24" x14ac:dyDescent="0.45">
      <c r="C18" s="1">
        <f t="shared" si="0"/>
        <v>2006</v>
      </c>
      <c r="D18">
        <v>32</v>
      </c>
      <c r="F18" t="s">
        <v>40</v>
      </c>
      <c r="G18" s="4">
        <f>($F22*G16+$F23*H16+$F24*I16)</f>
        <v>23.869999999999997</v>
      </c>
      <c r="H18" s="4"/>
      <c r="I18" s="4"/>
      <c r="J18" s="4"/>
      <c r="K18" s="4"/>
      <c r="L18" s="4">
        <f>($F22*L16+$F23*M16+$F24*N16)</f>
        <v>19.4695</v>
      </c>
      <c r="M18" s="4"/>
      <c r="N18" s="4"/>
      <c r="O18" s="4"/>
      <c r="P18" s="3"/>
      <c r="Q18" s="4">
        <f>($F22*Q16+$F23*R16+$F24*S16)</f>
        <v>17.215000000000003</v>
      </c>
      <c r="R18" s="3"/>
      <c r="S18" s="3"/>
      <c r="T18" s="3"/>
      <c r="U18" s="3"/>
      <c r="V18" s="4">
        <f>($F22*V16+$F23*W16+$F24*X16)</f>
        <v>13.501000000000001</v>
      </c>
      <c r="W18" s="3"/>
      <c r="X18" s="3"/>
    </row>
    <row r="19" spans="3:24" x14ac:dyDescent="0.45">
      <c r="C19" s="1">
        <f t="shared" si="0"/>
        <v>2005</v>
      </c>
      <c r="D19">
        <v>31.9</v>
      </c>
      <c r="F19" t="s">
        <v>41</v>
      </c>
    </row>
    <row r="20" spans="3:24" x14ac:dyDescent="0.45">
      <c r="C20" s="1">
        <f t="shared" si="0"/>
        <v>2004</v>
      </c>
      <c r="D20">
        <v>29.5</v>
      </c>
      <c r="F20" t="s">
        <v>42</v>
      </c>
    </row>
    <row r="21" spans="3:24" x14ac:dyDescent="0.45">
      <c r="C21" s="1">
        <f t="shared" si="0"/>
        <v>2003</v>
      </c>
      <c r="D21">
        <v>26.6</v>
      </c>
      <c r="F21" t="s">
        <v>43</v>
      </c>
    </row>
    <row r="22" spans="3:24" x14ac:dyDescent="0.45">
      <c r="C22" s="1">
        <f t="shared" si="0"/>
        <v>2002</v>
      </c>
      <c r="D22">
        <v>26.5</v>
      </c>
      <c r="F22">
        <v>0.35</v>
      </c>
    </row>
    <row r="23" spans="3:24" x14ac:dyDescent="0.45">
      <c r="C23" s="1">
        <f t="shared" si="0"/>
        <v>2001</v>
      </c>
      <c r="D23">
        <v>27.1</v>
      </c>
      <c r="F23">
        <v>0.2</v>
      </c>
    </row>
    <row r="24" spans="3:24" x14ac:dyDescent="0.45">
      <c r="C24" s="1">
        <f t="shared" si="0"/>
        <v>2000</v>
      </c>
      <c r="D24">
        <v>27.8</v>
      </c>
      <c r="F24">
        <v>0.45</v>
      </c>
    </row>
    <row r="25" spans="3:24" x14ac:dyDescent="0.45">
      <c r="C25" s="1">
        <f t="shared" si="0"/>
        <v>1999</v>
      </c>
      <c r="D25">
        <v>25.9</v>
      </c>
    </row>
    <row r="26" spans="3:24" x14ac:dyDescent="0.45">
      <c r="C26" s="1">
        <f t="shared" si="0"/>
        <v>1998</v>
      </c>
      <c r="D26">
        <v>26.2</v>
      </c>
    </row>
    <row r="27" spans="3:24" x14ac:dyDescent="0.45">
      <c r="C27" s="1">
        <f t="shared" si="0"/>
        <v>1997</v>
      </c>
      <c r="D27">
        <v>23.5</v>
      </c>
    </row>
    <row r="28" spans="3:24" x14ac:dyDescent="0.45">
      <c r="C28" s="1">
        <f t="shared" si="0"/>
        <v>1996</v>
      </c>
      <c r="D28">
        <v>22.8</v>
      </c>
    </row>
    <row r="29" spans="3:24" x14ac:dyDescent="0.45">
      <c r="C29" s="1">
        <f t="shared" si="0"/>
        <v>1995</v>
      </c>
      <c r="D29">
        <v>24.8</v>
      </c>
    </row>
    <row r="30" spans="3:24" x14ac:dyDescent="0.45">
      <c r="C30" s="1">
        <v>1994</v>
      </c>
      <c r="D30">
        <v>23.9</v>
      </c>
    </row>
    <row r="31" spans="3:24" x14ac:dyDescent="0.45">
      <c r="C31" s="1">
        <v>1993</v>
      </c>
      <c r="D31">
        <v>23.9</v>
      </c>
    </row>
    <row r="32" spans="3:24" x14ac:dyDescent="0.45">
      <c r="C32" s="1" t="s">
        <v>21</v>
      </c>
      <c r="D32">
        <v>21</v>
      </c>
    </row>
    <row r="33" spans="3:4" x14ac:dyDescent="0.45">
      <c r="C33" s="1" t="s">
        <v>3</v>
      </c>
      <c r="D33">
        <v>15.1</v>
      </c>
    </row>
    <row r="34" spans="3:4" x14ac:dyDescent="0.45">
      <c r="C34" s="1" t="s">
        <v>4</v>
      </c>
      <c r="D34">
        <v>13.1</v>
      </c>
    </row>
    <row r="35" spans="3:4" x14ac:dyDescent="0.45">
      <c r="C35" s="1" t="s">
        <v>5</v>
      </c>
      <c r="D35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6775-011B-475F-8BDC-0C53BBD18915}">
  <dimension ref="A1:E12"/>
  <sheetViews>
    <sheetView workbookViewId="0">
      <selection activeCell="J21" sqref="J21"/>
    </sheetView>
  </sheetViews>
  <sheetFormatPr defaultRowHeight="14.25" x14ac:dyDescent="0.45"/>
  <cols>
    <col min="2" max="2" width="9.19921875" style="2"/>
    <col min="3" max="3" width="3.73046875" style="2" customWidth="1"/>
    <col min="4" max="5" width="9.19921875" style="2"/>
  </cols>
  <sheetData>
    <row r="1" spans="1:5" s="3" customFormat="1" x14ac:dyDescent="0.45">
      <c r="A1" s="13" t="s">
        <v>36</v>
      </c>
      <c r="C1" s="4"/>
      <c r="D1" s="4"/>
      <c r="E1" s="4"/>
    </row>
    <row r="3" spans="1:5" x14ac:dyDescent="0.45">
      <c r="A3" s="14" t="s">
        <v>35</v>
      </c>
      <c r="B3" s="4">
        <v>2024</v>
      </c>
      <c r="C3" s="4"/>
      <c r="D3" s="4">
        <v>2011</v>
      </c>
      <c r="E3" s="4">
        <v>2003</v>
      </c>
    </row>
    <row r="4" spans="1:5" x14ac:dyDescent="0.45">
      <c r="A4" s="14"/>
      <c r="B4" s="4"/>
      <c r="C4" s="4"/>
      <c r="D4" s="4"/>
      <c r="E4" s="4"/>
    </row>
    <row r="5" spans="1:5" x14ac:dyDescent="0.45">
      <c r="A5" s="3" t="s">
        <v>31</v>
      </c>
      <c r="B5" s="2">
        <v>0.1232</v>
      </c>
      <c r="D5" s="2">
        <v>0.28060000000000002</v>
      </c>
      <c r="E5" s="2">
        <v>0.1517</v>
      </c>
    </row>
    <row r="6" spans="1:5" x14ac:dyDescent="0.45">
      <c r="A6" s="3"/>
      <c r="B6" s="2">
        <v>0.40200000000000002</v>
      </c>
      <c r="D6" s="2">
        <v>2E-3</v>
      </c>
      <c r="E6" s="2">
        <v>0.223</v>
      </c>
    </row>
    <row r="7" spans="1:5" x14ac:dyDescent="0.45">
      <c r="A7" s="3"/>
    </row>
    <row r="8" spans="1:5" x14ac:dyDescent="0.45">
      <c r="A8" s="3" t="s">
        <v>32</v>
      </c>
      <c r="B8" s="2">
        <v>0.26440000000000002</v>
      </c>
      <c r="D8" s="2">
        <v>0.15840000000000001</v>
      </c>
      <c r="E8" s="2">
        <v>0.1734</v>
      </c>
    </row>
    <row r="9" spans="1:5" x14ac:dyDescent="0.45">
      <c r="A9" s="3"/>
      <c r="B9" s="2">
        <v>1.4999999999999999E-2</v>
      </c>
      <c r="D9" s="2">
        <v>8.5999999999999993E-2</v>
      </c>
      <c r="E9" s="2">
        <v>0.10299999999999999</v>
      </c>
    </row>
    <row r="10" spans="1:5" x14ac:dyDescent="0.45">
      <c r="A10" s="3"/>
    </row>
    <row r="11" spans="1:5" x14ac:dyDescent="0.45">
      <c r="A11" s="3" t="s">
        <v>33</v>
      </c>
      <c r="B11" s="2">
        <v>0.31390000000000001</v>
      </c>
      <c r="D11" s="2">
        <v>0.193</v>
      </c>
      <c r="E11" s="2">
        <v>0.32419999999999999</v>
      </c>
    </row>
    <row r="12" spans="1:5" x14ac:dyDescent="0.45">
      <c r="B12" s="2">
        <v>3.0000000000000001E-3</v>
      </c>
      <c r="D12" s="2">
        <v>0.11799999999999999</v>
      </c>
      <c r="E12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C73B-DD90-4E29-9374-4518E24824F6}">
  <dimension ref="A1:G35"/>
  <sheetViews>
    <sheetView tabSelected="1" topLeftCell="A2" workbookViewId="0">
      <selection activeCell="G35" sqref="G35"/>
    </sheetView>
  </sheetViews>
  <sheetFormatPr defaultRowHeight="14.25" x14ac:dyDescent="0.45"/>
  <cols>
    <col min="1" max="1" width="16.6640625" customWidth="1"/>
    <col min="4" max="5" width="9.86328125" bestFit="1" customWidth="1"/>
    <col min="6" max="6" width="10.9296875" customWidth="1"/>
  </cols>
  <sheetData>
    <row r="1" spans="1:7" x14ac:dyDescent="0.45">
      <c r="B1" t="s">
        <v>22</v>
      </c>
    </row>
    <row r="2" spans="1:7" x14ac:dyDescent="0.45">
      <c r="B2">
        <v>1</v>
      </c>
      <c r="C2">
        <v>2</v>
      </c>
      <c r="D2">
        <v>3</v>
      </c>
      <c r="E2">
        <v>4</v>
      </c>
      <c r="F2">
        <v>5</v>
      </c>
      <c r="G2" t="s">
        <v>26</v>
      </c>
    </row>
    <row r="3" spans="1:7" x14ac:dyDescent="0.45">
      <c r="A3" t="s">
        <v>23</v>
      </c>
    </row>
    <row r="4" spans="1:7" x14ac:dyDescent="0.45">
      <c r="A4" s="1">
        <v>1963</v>
      </c>
      <c r="B4">
        <v>50.7</v>
      </c>
      <c r="C4">
        <v>1.5</v>
      </c>
      <c r="D4">
        <v>39.1</v>
      </c>
      <c r="E4">
        <v>8.6999999999999993</v>
      </c>
      <c r="F4">
        <v>0</v>
      </c>
      <c r="G4">
        <v>1.1599999999999999</v>
      </c>
    </row>
    <row r="5" spans="1:7" x14ac:dyDescent="0.45">
      <c r="A5">
        <v>2024</v>
      </c>
      <c r="B5">
        <v>21</v>
      </c>
      <c r="C5">
        <v>8.5</v>
      </c>
      <c r="D5">
        <v>14.5</v>
      </c>
      <c r="E5">
        <v>37.9</v>
      </c>
      <c r="F5">
        <v>18.100000000000001</v>
      </c>
      <c r="G5">
        <v>2.9</v>
      </c>
    </row>
    <row r="7" spans="1:7" x14ac:dyDescent="0.45">
      <c r="A7" t="s">
        <v>24</v>
      </c>
      <c r="B7">
        <f>0.01*(B5-B4)</f>
        <v>-0.29700000000000004</v>
      </c>
      <c r="C7">
        <f t="shared" ref="C7:F7" si="0">0.01*(C5-C4)</f>
        <v>7.0000000000000007E-2</v>
      </c>
      <c r="D7">
        <f t="shared" si="0"/>
        <v>-0.24600000000000002</v>
      </c>
      <c r="E7">
        <f t="shared" si="0"/>
        <v>0.29199999999999998</v>
      </c>
      <c r="F7">
        <f t="shared" si="0"/>
        <v>0.18100000000000002</v>
      </c>
      <c r="G7">
        <f>(G5-G4)</f>
        <v>1.74</v>
      </c>
    </row>
    <row r="8" spans="1:7" x14ac:dyDescent="0.45">
      <c r="A8" t="s">
        <v>25</v>
      </c>
    </row>
    <row r="10" spans="1:7" x14ac:dyDescent="0.45">
      <c r="A10" t="s">
        <v>29</v>
      </c>
      <c r="C10">
        <v>0.41804999999999998</v>
      </c>
      <c r="D10">
        <v>0.15981139999999999</v>
      </c>
      <c r="E10">
        <v>0.8323353</v>
      </c>
      <c r="F10">
        <v>1.4941</v>
      </c>
      <c r="G10">
        <f>C7*C10+D7*D10+E7*E10+F7*F10</f>
        <v>0.50342390319999997</v>
      </c>
    </row>
    <row r="11" spans="1:7" x14ac:dyDescent="0.45">
      <c r="A11" t="s">
        <v>27</v>
      </c>
    </row>
    <row r="12" spans="1:7" x14ac:dyDescent="0.45">
      <c r="A12" t="s">
        <v>28</v>
      </c>
      <c r="D12" t="s">
        <v>30</v>
      </c>
      <c r="G12" s="12">
        <f>100*G10/G7</f>
        <v>28.932408229885059</v>
      </c>
    </row>
    <row r="15" spans="1:7" x14ac:dyDescent="0.45">
      <c r="A15" t="s">
        <v>23</v>
      </c>
    </row>
    <row r="16" spans="1:7" x14ac:dyDescent="0.45">
      <c r="A16" s="1">
        <v>1983</v>
      </c>
      <c r="B16">
        <v>57.6</v>
      </c>
      <c r="C16">
        <v>4</v>
      </c>
      <c r="D16">
        <v>35.200000000000003</v>
      </c>
      <c r="E16">
        <v>2.4</v>
      </c>
      <c r="F16">
        <v>0.8</v>
      </c>
      <c r="G16">
        <v>1.52</v>
      </c>
    </row>
    <row r="17" spans="1:7" x14ac:dyDescent="0.45">
      <c r="A17">
        <v>2024</v>
      </c>
      <c r="B17">
        <v>21</v>
      </c>
      <c r="C17">
        <v>8.5</v>
      </c>
      <c r="D17">
        <v>14.5</v>
      </c>
      <c r="E17">
        <v>37.9</v>
      </c>
      <c r="F17">
        <v>18.100000000000001</v>
      </c>
      <c r="G17">
        <v>2.9</v>
      </c>
    </row>
    <row r="19" spans="1:7" x14ac:dyDescent="0.45">
      <c r="A19" t="s">
        <v>24</v>
      </c>
      <c r="B19">
        <f>0.01*(B17-B16)</f>
        <v>-0.36600000000000005</v>
      </c>
      <c r="C19">
        <f t="shared" ref="C19:F19" si="1">0.01*(C17-C16)</f>
        <v>4.4999999999999998E-2</v>
      </c>
      <c r="D19">
        <f t="shared" si="1"/>
        <v>-0.20700000000000005</v>
      </c>
      <c r="E19">
        <f t="shared" si="1"/>
        <v>0.35499999999999998</v>
      </c>
      <c r="F19">
        <f t="shared" si="1"/>
        <v>0.17300000000000001</v>
      </c>
      <c r="G19">
        <f>(G17-G16)</f>
        <v>1.38</v>
      </c>
    </row>
    <row r="20" spans="1:7" x14ac:dyDescent="0.45">
      <c r="A20" t="s">
        <v>25</v>
      </c>
    </row>
    <row r="22" spans="1:7" x14ac:dyDescent="0.45">
      <c r="A22" t="s">
        <v>29</v>
      </c>
      <c r="C22">
        <v>0.41804999999999998</v>
      </c>
      <c r="D22">
        <v>0.15981139999999999</v>
      </c>
      <c r="E22">
        <v>0.8323353</v>
      </c>
      <c r="F22">
        <v>1.4941</v>
      </c>
      <c r="G22">
        <f>C19*C22+D19*D22+E19*E22+F19*F22</f>
        <v>0.53968962170000001</v>
      </c>
    </row>
    <row r="23" spans="1:7" x14ac:dyDescent="0.45">
      <c r="A23" t="s">
        <v>27</v>
      </c>
    </row>
    <row r="24" spans="1:7" x14ac:dyDescent="0.45">
      <c r="A24" t="s">
        <v>28</v>
      </c>
      <c r="D24" t="s">
        <v>30</v>
      </c>
      <c r="G24" s="12">
        <f>100*G22/G19</f>
        <v>39.107943601449279</v>
      </c>
    </row>
    <row r="26" spans="1:7" x14ac:dyDescent="0.45">
      <c r="A26" t="s">
        <v>23</v>
      </c>
    </row>
    <row r="27" spans="1:7" x14ac:dyDescent="0.45">
      <c r="A27" s="1">
        <v>2003</v>
      </c>
      <c r="B27">
        <v>28.9</v>
      </c>
      <c r="C27">
        <v>11.1</v>
      </c>
      <c r="D27">
        <v>38.5</v>
      </c>
      <c r="E27">
        <v>17.8</v>
      </c>
      <c r="F27">
        <v>3.7</v>
      </c>
      <c r="G27">
        <v>1.99</v>
      </c>
    </row>
    <row r="28" spans="1:7" x14ac:dyDescent="0.45">
      <c r="A28">
        <v>2024</v>
      </c>
      <c r="B28">
        <v>21</v>
      </c>
      <c r="C28">
        <v>8.5</v>
      </c>
      <c r="D28">
        <v>14.5</v>
      </c>
      <c r="E28">
        <v>37.9</v>
      </c>
      <c r="F28">
        <v>18.100000000000001</v>
      </c>
      <c r="G28">
        <v>2.9</v>
      </c>
    </row>
    <row r="30" spans="1:7" x14ac:dyDescent="0.45">
      <c r="A30" t="s">
        <v>24</v>
      </c>
      <c r="B30">
        <f>0.01*(B28-B27)</f>
        <v>-7.8999999999999987E-2</v>
      </c>
      <c r="C30">
        <f t="shared" ref="C30:F30" si="2">0.01*(C28-C27)</f>
        <v>-2.5999999999999995E-2</v>
      </c>
      <c r="D30">
        <f t="shared" si="2"/>
        <v>-0.24</v>
      </c>
      <c r="E30">
        <f t="shared" si="2"/>
        <v>0.20099999999999998</v>
      </c>
      <c r="F30">
        <f t="shared" si="2"/>
        <v>0.14400000000000002</v>
      </c>
      <c r="G30">
        <f>(G28-G27)</f>
        <v>0.90999999999999992</v>
      </c>
    </row>
    <row r="31" spans="1:7" x14ac:dyDescent="0.45">
      <c r="A31" t="s">
        <v>25</v>
      </c>
    </row>
    <row r="33" spans="1:7" x14ac:dyDescent="0.45">
      <c r="A33" t="s">
        <v>29</v>
      </c>
      <c r="C33">
        <v>0.41804999999999998</v>
      </c>
      <c r="D33">
        <v>0.15981139999999999</v>
      </c>
      <c r="E33">
        <v>0.8323353</v>
      </c>
      <c r="F33">
        <v>1.4941</v>
      </c>
      <c r="G33">
        <f>C30*C33+D30*D33+E30*E33+F30*F33</f>
        <v>0.33322575929999998</v>
      </c>
    </row>
    <row r="34" spans="1:7" x14ac:dyDescent="0.45">
      <c r="A34" t="s">
        <v>27</v>
      </c>
    </row>
    <row r="35" spans="1:7" x14ac:dyDescent="0.45">
      <c r="A35" t="s">
        <v>28</v>
      </c>
      <c r="D35" t="s">
        <v>30</v>
      </c>
      <c r="G35" s="12">
        <f>100*G33/G30</f>
        <v>36.61821530769231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Fem%</vt:lpstr>
      <vt:lpstr>Changing Style Similarity</vt:lpstr>
      <vt:lpstr>StyleNauthors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Hamermesh</dc:creator>
  <cp:lastModifiedBy>Daniel Hamermesh</cp:lastModifiedBy>
  <dcterms:created xsi:type="dcterms:W3CDTF">2025-01-15T21:26:20Z</dcterms:created>
  <dcterms:modified xsi:type="dcterms:W3CDTF">2025-06-23T11:53:28Z</dcterms:modified>
</cp:coreProperties>
</file>